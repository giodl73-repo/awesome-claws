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b2ec1ee51934b5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Workpaper" sheetId="1" r:id="R793b582da79a4fe3"/>
    <x:sheet xmlns:r="http://schemas.openxmlformats.org/officeDocument/2006/relationships" name="Sources" sheetId="2" r:id="Rdb27dd5ba8de45f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.00&quot;  &quot;;(#,##0.00)&quot;  &quot;;&quot;-&quot;"/>
    <x:numFmt numFmtId="201" formatCode="yyyy-mm-dd"/>
    <x:numFmt numFmtId="202" formatCode="0.0%"/>
  </x:numFmts>
  <x:fonts count="6">
    <x:font>
      <x:sz val="11"/>
      <x:name val="Carlito"/>
    </x:font>
    <x:font>
      <x:sz val="11"/>
      <x:color rgb="FF202124"/>
      <x:name val="Arial"/>
    </x:font>
    <x:font>
      <x:b/>
      <x:sz val="15"/>
      <x:color rgb="FF202124"/>
      <x:name val="Arial"/>
    </x:font>
    <x:font>
      <x:b/>
      <x:sz val="11"/>
      <x:color rgb="FFFFFFFF"/>
      <x:name val="Arial"/>
    </x:font>
    <x:font>
      <x:sz val="11"/>
      <x:color rgb="FF0000FF"/>
      <x:name val="Arial"/>
    </x:font>
    <x:font>
      <x:b/>
      <x:sz val="11"/>
      <x:color rgb="FF202124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344B42"/>
      </x:patternFill>
    </x:fill>
  </x:fills>
  <x:borders count="2">
    <x:border/>
    <x:border>
      <x:top style="thin">
        <x:color rgb="FF344B42"/>
      </x:top>
    </x:border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0"/>
    </x:xf>
    <x:xf numFmtId="0" fontId="2" fillId="0" borderId="0" xfId="0" applyNumberFormat="1" applyFont="1" applyFill="1" applyBorder="1" applyAlignment="1">
      <x:alignment vertical="center" wrapText="0"/>
    </x:xf>
    <x:xf numFmtId="0" fontId="1" fillId="2" borderId="0" xfId="0" applyNumberFormat="1" applyFont="1" applyFill="1" applyBorder="1" applyAlignment="1">
      <x:alignment vertical="center" wrapText="0"/>
    </x:xf>
    <x:xf numFmtId="0" fontId="3" fillId="2" borderId="0" xfId="0" applyNumberFormat="1" applyFont="1" applyFill="1" applyBorder="1" applyAlignment="1">
      <x:alignment vertical="center" wrapText="0"/>
    </x:xf>
    <x:xf numFmtId="0" fontId="3" fillId="2" borderId="0" xfId="0" applyNumberFormat="1" applyFont="1" applyFill="1" applyBorder="1" applyAlignment="1">
      <x:alignment horizontal="center" vertical="center" wrapText="0"/>
    </x:xf>
    <x:xf numFmtId="200" fontId="1" fillId="0" borderId="0" xfId="0" applyNumberFormat="1" applyFont="1" applyFill="1" applyBorder="1" applyAlignment="1">
      <x:alignment vertical="center" wrapText="0"/>
    </x:xf>
    <x:xf numFmtId="200" fontId="4" fillId="0" borderId="0" xfId="0" applyNumberFormat="1" applyFont="1" applyFill="1" applyBorder="1" applyAlignment="1">
      <x:alignment vertical="center" wrapText="0"/>
    </x:xf>
    <x:xf numFmtId="201" fontId="1" fillId="0" borderId="0" xfId="0" applyNumberFormat="1" applyFont="1" applyFill="1" applyBorder="1" applyAlignment="1">
      <x:alignment vertical="center" wrapText="0"/>
    </x:xf>
    <x:xf numFmtId="202" fontId="1" fillId="0" borderId="0" xfId="0" applyNumberFormat="1" applyFont="1" applyFill="1" applyBorder="1" applyAlignment="1">
      <x:alignment vertical="center" wrapText="0"/>
    </x:xf>
    <x:xf numFmtId="0" fontId="5" fillId="0" borderId="0" xfId="0" applyNumberFormat="1" applyFont="1" applyFill="1" applyBorder="1" applyAlignment="1">
      <x:alignment vertical="center" wrapText="0"/>
    </x:xf>
    <x:xf numFmtId="200" fontId="5" fillId="0" borderId="0" xfId="0" applyNumberFormat="1" applyFont="1" applyFill="1" applyBorder="1" applyAlignment="1">
      <x:alignment vertical="center" wrapText="0"/>
    </x:xf>
    <x:xf numFmtId="0" fontId="5" fillId="0" borderId="1" xfId="0" applyNumberFormat="1" applyFont="1" applyFill="1" applyBorder="1" applyAlignment="1">
      <x:alignment vertical="center" wrapText="0"/>
    </x:xf>
    <x:xf numFmtId="200" fontId="5" fillId="0" borderId="1" xfId="0" applyNumberFormat="1" applyFont="1" applyFill="1" applyBorder="1" applyAlignment="1">
      <x:alignment vertical="center" wrapText="0"/>
    </x:xf>
  </x:cellXfs>
  <x:cellStyles count="1">
    <x:cellStyle name="Normal" xfId="0"/>
  </x:cellStyles>
  <x:dxfs count="1">
    <x:dxf>
      <x:font>
        <x:b/>
        <x:color rgb="FF9C2424"/>
      </x:font>
      <x:fill>
        <x:patternFill patternType="solid">
          <x:bgColor rgb="FFFCE8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3b3f89495334d34" /><Relationship Type="http://schemas.openxmlformats.org/officeDocument/2006/relationships/theme" Target="/xl/theme/theme1.xml" Id="R8d43fbd96ccd4971" /><Relationship Type="http://schemas.openxmlformats.org/officeDocument/2006/relationships/sharedStrings" Target="/xl/sharedStrings.xml" Id="R13775ac67ae042f0" /><Relationship Type="http://schemas.openxmlformats.org/officeDocument/2006/relationships/worksheet" Target="/xl/worksheets/sheet1.xml" Id="R793b582da79a4fe3" /><Relationship Type="http://schemas.openxmlformats.org/officeDocument/2006/relationships/worksheet" Target="/xl/worksheets/sheet2.xml" Id="Rdb27dd5ba8de45f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17" hidden="0" customWidth="1"/>
    <x:col min="3" max="3" width="27" hidden="0" customWidth="1"/>
    <x:col min="4" max="4" width="23" hidden="0" customWidth="1"/>
    <x:col min="5" max="5" width="36" hidden="0" customWidth="1"/>
  </x:cols>
  <x:sheetData>
    <x:row r="1" ht="22" customHeight="1">
      <x:c r="A1" s="3"/>
      <x:c r="B1" s="3"/>
      <x:c r="C1" s="3"/>
      <x:c r="D1" s="3"/>
      <x:c r="E1" s="3"/>
    </x:row>
    <x:row r="2" ht="22" customHeight="1">
      <x:c r="A2" s="4" t="str">
        <x:v>August close workpaper</x:v>
      </x:c>
      <x:c r="B2" s="3"/>
      <x:c r="C2" s="3"/>
      <x:c r="D2" s="3"/>
      <x:c r="E2" s="3"/>
    </x:row>
    <x:row r="3" ht="22" customHeight="1">
      <x:c r="A3" s="3" t="str">
        <x:v>Entity</x:v>
      </x:c>
      <x:c r="B3" s="3" t="str">
        <x:v>Northwind Example Co</x:v>
      </x:c>
      <x:c r="C3" s="3"/>
      <x:c r="D3" s="3" t="str">
        <x:v>Period</x:v>
      </x:c>
      <x:c r="E3" s="3" t="str">
        <x:v>2026-08</x:v>
      </x:c>
    </x:row>
    <x:row r="4" ht="22" customHeight="1">
      <x:c r="A4" s="3" t="str">
        <x:v>Currency</x:v>
      </x:c>
      <x:c r="B4" s="3" t="str">
        <x:v>USD</x:v>
      </x:c>
      <x:c r="C4" s="3"/>
      <x:c r="D4" s="3" t="str">
        <x:v>Basis</x:v>
      </x:c>
      <x:c r="E4" s="3" t="str">
        <x:v>owner-supplied accrual basis</x:v>
      </x:c>
    </x:row>
    <x:row r="5" ht="22" customHeight="1">
      <x:c r="A5" s="3" t="str">
        <x:v>Account</x:v>
      </x:c>
      <x:c r="B5" s="3" t="str">
        <x:v>accruals-2100</x:v>
      </x:c>
      <x:c r="C5" s="3"/>
      <x:c r="D5" s="3" t="str">
        <x:v>Reviewer</x:v>
      </x:c>
      <x:c r="E5" s="3" t="str">
        <x:v>Morgan Lee, Controller</x:v>
      </x:c>
    </x:row>
    <x:row r="6" ht="22" customHeight="1">
      <x:c r="A6" s="3" t="str">
        <x:v>Unexplained change (USD)</x:v>
      </x:c>
      <x:c r="B6" s="8" t="n">
        <x:f>B16</x:f>
        <x:v>500</x:v>
      </x:c>
      <x:c r="C6" s="3"/>
      <x:c r="D6" s="3"/>
      <x:c r="E6" s="3" t="str">
        <x:f>IF(COUNT(B10:B13)=4,"Accountant review pending","Evidence needed")</x:f>
        <x:v>Accountant review pending</x:v>
      </x:c>
    </x:row>
    <x:row r="7" ht="22" customHeight="1">
      <x:c r="A7" s="3" t="str">
        <x:v>Opening: July 31. Closing: August 31, 2026.</x:v>
      </x:c>
      <x:c r="B7" s="3"/>
      <x:c r="C7" s="3"/>
      <x:c r="D7" s="3" t="str">
        <x:v>As of</x:v>
      </x:c>
      <x:c r="E7" s="10" t="n">
        <x:v>46267</x:v>
      </x:c>
    </x:row>
    <x:row r="8" ht="22" customHeight="1">
      <x:c r="A8" s="3"/>
      <x:c r="B8" s="3"/>
      <x:c r="C8" s="3"/>
      <x:c r="D8" s="3"/>
      <x:c r="E8" s="3"/>
    </x:row>
    <x:row r="9" ht="28" customHeight="1">
      <x:c r="A9" s="7" t="str">
        <x:v>Component</x:v>
      </x:c>
      <x:c r="B9" s="7" t="str">
        <x:v>USD</x:v>
      </x:c>
      <x:c r="C9" s="7" t="str">
        <x:v>Source</x:v>
      </x:c>
      <x:c r="D9" s="7" t="str">
        <x:v>Prepared revision</x:v>
      </x:c>
      <x:c r="E9" s="7" t="str">
        <x:v>Availability</x:v>
      </x:c>
    </x:row>
    <x:row r="10" ht="22" customHeight="1">
      <x:c r="A10" s="3" t="str">
        <x:v>Opening balance</x:v>
      </x:c>
      <x:c r="B10" s="8" t="n">
        <x:f>IF(E10="Available",'Sources'!B10,"n.a.")</x:f>
        <x:v>12000</x:v>
      </x:c>
      <x:c r="C10" s="3" t="str">
        <x:v>TB-OPEN</x:v>
      </x:c>
      <x:c r="D10" s="3" t="str">
        <x:v>r1</x:v>
      </x:c>
      <x:c r="E10" s="3" t="str">
        <x:f>IF(AND(ISNUMBER('Sources'!B10),'Sources'!C10=C10,'Sources'!D10=D10,'Sources'!E10=$B$3,'Sources'!F10=$E$3,'Sources'!G10=$B$4,'Sources'!H10=$E$4,'Sources'!I10=$B$5,'Sources'!J10="supplied-complete",'Sources'!$B$3=$B$3,'Sources'!$B$4=$E$3,'Sources'!$B$5=$B$4,'Sources'!$B$6=$E$4),"Available","Evidence needed")</x:f>
        <x:v>Available</x:v>
      </x:c>
    </x:row>
    <x:row r="11" ht="22" customHeight="1">
      <x:c r="A11" s="3" t="str">
        <x:v>Closing balance</x:v>
      </x:c>
      <x:c r="B11" s="8" t="n">
        <x:f>IF(E11="Available",'Sources'!B11,"n.a.")</x:f>
        <x:v>15500</x:v>
      </x:c>
      <x:c r="C11" s="3" t="str">
        <x:v>TB-CLOSE</x:v>
      </x:c>
      <x:c r="D11" s="3" t="str">
        <x:v>r2</x:v>
      </x:c>
      <x:c r="E11" s="3" t="str">
        <x:f>IF(AND(ISNUMBER('Sources'!B11),'Sources'!C11=C11,'Sources'!D11=D11,'Sources'!E11=$B$3,'Sources'!F11=$E$3,'Sources'!G11=$B$4,'Sources'!H11=$E$4,'Sources'!I11=$B$5,'Sources'!J11="supplied-complete",'Sources'!$B$3=$B$3,'Sources'!$B$4=$E$3,'Sources'!$B$5=$B$4,'Sources'!$B$6=$E$4),"Available","Evidence needed")</x:f>
        <x:v>Available</x:v>
      </x:c>
    </x:row>
    <x:row r="12" ht="22" customHeight="1">
      <x:c r="A12" s="3" t="str">
        <x:v>Supplier schedule change</x:v>
      </x:c>
      <x:c r="B12" s="8" t="n">
        <x:f>IF(E12="Available",'Sources'!B12,"n.a.")</x:f>
        <x:v>2100</x:v>
      </x:c>
      <x:c r="C12" s="3" t="str">
        <x:v>SCHED-SUPPLIER</x:v>
      </x:c>
      <x:c r="D12" s="3" t="str">
        <x:v>r1</x:v>
      </x:c>
      <x:c r="E12" s="3" t="str">
        <x:f>IF(AND(ISNUMBER('Sources'!B12),'Sources'!C12=C12,'Sources'!D12=D12,'Sources'!E12=$B$3,'Sources'!F12=$E$3,'Sources'!G12=$B$4,'Sources'!H12=$E$4,'Sources'!I12=$B$5,'Sources'!J12="supplied-complete",'Sources'!$B$3=$B$3,'Sources'!$B$4=$E$3,'Sources'!$B$5=$B$4,'Sources'!$B$6=$E$4),"Available","Evidence needed")</x:f>
        <x:v>Available</x:v>
      </x:c>
    </x:row>
    <x:row r="13" ht="22" customHeight="1">
      <x:c r="A13" s="3" t="str">
        <x:v>Payroll schedule change</x:v>
      </x:c>
      <x:c r="B13" s="8" t="n">
        <x:f>IF(E13="Available",'Sources'!B13,"n.a.")</x:f>
        <x:v>900</x:v>
      </x:c>
      <x:c r="C13" s="3" t="str">
        <x:v>SCHED-PAYROLL</x:v>
      </x:c>
      <x:c r="D13" s="3" t="str">
        <x:v>r1</x:v>
      </x:c>
      <x:c r="E13" s="3" t="str">
        <x:f>IF(AND(ISNUMBER('Sources'!B13),'Sources'!C13=C13,'Sources'!D13=D13,'Sources'!E13=$B$3,'Sources'!F13=$E$3,'Sources'!G13=$B$4,'Sources'!H13=$E$4,'Sources'!I13=$B$5,'Sources'!J13="supplied-complete",'Sources'!$B$3=$B$3,'Sources'!$B$4=$E$3,'Sources'!$B$5=$B$4,'Sources'!$B$6=$E$4),"Available","Evidence needed")</x:f>
        <x:v>Available</x:v>
      </x:c>
    </x:row>
    <x:row r="14" ht="22" customHeight="1">
      <x:c r="A14" s="3" t="str">
        <x:v>Balance change</x:v>
      </x:c>
      <x:c r="B14" s="8" t="n">
        <x:f>IF(COUNT(B10:B11)=2,B11-B10,"n.a.")</x:f>
        <x:v>3500</x:v>
      </x:c>
      <x:c r="C14" s="3"/>
      <x:c r="D14" s="3"/>
      <x:c r="E14" s="3"/>
    </x:row>
    <x:row r="15" ht="22" customHeight="1">
      <x:c r="A15" s="3" t="str">
        <x:v>Explained by schedules</x:v>
      </x:c>
      <x:c r="B15" s="8" t="n">
        <x:f>IF(COUNT(B12:B13)=2,SUM(B12:B13),"n.a.")</x:f>
        <x:v>3000</x:v>
      </x:c>
      <x:c r="C15" s="3"/>
      <x:c r="D15" s="3"/>
      <x:c r="E15" s="3"/>
    </x:row>
    <x:row r="16" ht="22" customHeight="1">
      <x:c r="A16" s="14" t="str">
        <x:v>Unexplained</x:v>
      </x:c>
      <x:c r="B16" s="15" t="n">
        <x:f>IF(COUNT(B14:B15)=2,B14-B15,"n.a.")</x:f>
        <x:v>500</x:v>
      </x:c>
      <x:c r="C16" s="3"/>
      <x:c r="D16" s="3"/>
      <x:c r="E16" s="3"/>
    </x:row>
    <x:row r="17" ht="22" customHeight="1">
      <x:c r="A17" s="3" t="str">
        <x:v>Change / opening balance</x:v>
      </x:c>
      <x:c r="B17" s="11" t="n">
        <x:f>IF(AND(ISNUMBER(B14),ISNUMBER(B10),B10&lt;&gt;0),B14/B10,"n.a.")</x:f>
        <x:v>0.2916666666666667</x:v>
      </x:c>
      <x:c r="C17" s="3"/>
      <x:c r="D17" s="3"/>
      <x:c r="E17" s="3"/>
    </x:row>
    <x:row r="18" ht="22" customHeight="1">
      <x:c r="A18" s="3"/>
      <x:c r="B18" s="3"/>
      <x:c r="C18" s="3"/>
      <x:c r="D18" s="3"/>
      <x:c r="E18" s="3"/>
    </x:row>
    <x:row r="19" ht="22" customHeight="1">
      <x:c r="A19" s="3"/>
      <x:c r="B19" s="3"/>
      <x:c r="C19" s="3"/>
      <x:c r="D19" s="3"/>
      <x:c r="E19" s="3"/>
    </x:row>
    <x:row r="20" ht="22" customHeight="1">
      <x:c r="A20" s="3" t="str">
        <x:v>Unresolved: operating-001</x:v>
      </x:c>
      <x:c r="B20" s="3"/>
      <x:c r="C20" s="3"/>
      <x:c r="D20" s="3"/>
      <x:c r="E20" s="3"/>
    </x:row>
    <x:row r="21" ht="22" customHeight="1">
      <x:c r="A21" s="3"/>
      <x:c r="B21" s="3"/>
      <x:c r="C21" s="3"/>
      <x:c r="D21" s="3"/>
      <x:c r="E21" s="3"/>
    </x:row>
    <x:row r="22" ht="28" customHeight="1">
      <x:c r="A22" s="7" t="str">
        <x:v>Residual</x:v>
      </x:c>
      <x:c r="B22" s="7" t="str">
        <x:v>USD</x:v>
      </x:c>
      <x:c r="C22" s="7" t="str">
        <x:v>Side</x:v>
      </x:c>
      <x:c r="D22" s="7" t="str">
        <x:v>Reason</x:v>
      </x:c>
      <x:c r="E22" s="7" t="str">
        <x:v>Next owner</x:v>
      </x:c>
    </x:row>
    <x:row r="23" ht="22" customHeight="1">
      <x:c r="A23" s="3" t="str">
        <x:f>'Sources'!A18</x:f>
        <x:v>residual-ledger-review</x:v>
      </x:c>
      <x:c r="B23" s="8" t="n">
        <x:f>'Sources'!B18</x:f>
        <x:v>1.25</x:v>
      </x:c>
      <x:c r="C23" s="3" t="str">
        <x:f>'Sources'!C18</x:f>
        <x:v>ledger</x:v>
      </x:c>
      <x:c r="D23" s="3" t="str">
        <x:f>'Sources'!D18</x:f>
        <x:v>owner-review-needed</x:v>
      </x:c>
      <x:c r="E23" s="3" t="str">
        <x:f>'Sources'!E18</x:f>
        <x:v>Ruth Abara</x:v>
      </x:c>
    </x:row>
    <x:row r="24" ht="22" customHeight="1">
      <x:c r="A24" s="3" t="str">
        <x:f>'Sources'!A19</x:f>
        <x:v>residual-statement-timing</x:v>
      </x:c>
      <x:c r="B24" s="8" t="n">
        <x:f>'Sources'!B19</x:f>
        <x:v>-0.9</x:v>
      </x:c>
      <x:c r="C24" s="3" t="str">
        <x:f>'Sources'!C19</x:f>
        <x:v>statement</x:v>
      </x:c>
      <x:c r="D24" s="3" t="str">
        <x:f>'Sources'!D19</x:f>
        <x:v>timing-difference</x:v>
      </x:c>
      <x:c r="E24" s="3" t="str">
        <x:f>'Sources'!E19</x:f>
        <x:v>Ruth Abara</x:v>
      </x:c>
    </x:row>
    <x:row r="25" ht="22" customHeight="1">
      <x:c r="A25" s="3"/>
      <x:c r="B25" s="3"/>
      <x:c r="C25" s="3"/>
      <x:c r="D25" s="3"/>
      <x:c r="E25" s="3"/>
    </x:row>
    <x:row r="26" ht="22" customHeight="1">
      <x:c r="A26" s="3"/>
      <x:c r="B26" s="3"/>
      <x:c r="C26" s="3"/>
      <x:c r="D26" s="3"/>
      <x:c r="E26" s="3"/>
    </x:row>
    <x:row r="27" ht="22" customHeight="1">
      <x:c r="A27" s="3" t="str">
        <x:v>No journal, policy judgment or close approval is implied.</x:v>
      </x:c>
      <x:c r="B27" s="3"/>
      <x:c r="C27" s="3"/>
      <x:c r="D27" s="3"/>
      <x:c r="E27" s="3"/>
    </x:row>
    <x:row r="28" ht="22" customHeight="1">
      <x:c r="A28" s="3"/>
      <x:c r="B28" s="3"/>
      <x:c r="C28" s="3"/>
      <x:c r="D28" s="3"/>
      <x:c r="E28" s="3"/>
    </x:row>
  </x:sheetData>
  <x:conditionalFormatting sqref="B6:B6">
    <x:cfRule type="cellIs" dxfId="0" priority="1" operator="notEqual">
      <x:formula>0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9" topLeftCell="A10" activePane="bottomLeft" state="frozen"/>
    </x:sheetView>
  </x:sheetViews>
  <x:sheetFormatPr defaultRowHeight="15"/>
  <x:cols>
    <x:col min="1" max="1" width="33" hidden="0" customWidth="1"/>
    <x:col min="2" max="2" width="28" hidden="0" customWidth="1"/>
    <x:col min="3" max="3" width="25" hidden="0" customWidth="1"/>
    <x:col min="4" max="4" width="22" hidden="0" customWidth="1"/>
    <x:col min="5" max="5" width="27" hidden="0" customWidth="1"/>
    <x:col min="6" max="6" width="28" hidden="0" customWidth="1"/>
    <x:col min="7" max="7" width="12" hidden="0" customWidth="1"/>
    <x:col min="8" max="8" width="32" hidden="0" customWidth="1"/>
    <x:col min="9" max="9" width="21" hidden="0" customWidth="1"/>
    <x:col min="10" max="10" width="23" hidden="0" customWidth="1"/>
  </x:cols>
  <x:sheetData>
    <x:row r="1" ht="22" customHeight="1">
      <x:c r="A1" s="3"/>
      <x:c r="B1" s="3"/>
      <x:c r="C1" s="3"/>
      <x:c r="D1" s="3"/>
      <x:c r="E1" s="3"/>
      <x:c r="F1" s="3"/>
      <x:c r="G1" s="3"/>
      <x:c r="H1" s="3"/>
      <x:c r="I1" s="3"/>
      <x:c r="J1" s="3"/>
    </x:row>
    <x:row r="2" ht="22" customHeight="1">
      <x:c r="A2" s="4" t="str">
        <x:v>August close source schedules (synthetic)</x:v>
      </x:c>
      <x:c r="B2" s="3"/>
      <x:c r="C2" s="3"/>
      <x:c r="D2" s="3"/>
      <x:c r="E2" s="3"/>
      <x:c r="F2" s="3"/>
      <x:c r="G2" s="3"/>
      <x:c r="H2" s="3"/>
      <x:c r="I2" s="3"/>
      <x:c r="J2" s="3"/>
    </x:row>
    <x:row r="3" ht="22" customHeight="1">
      <x:c r="A3" s="3" t="str">
        <x:v>Entity</x:v>
      </x:c>
      <x:c r="B3" s="3" t="str">
        <x:v>Northwind Example Co</x:v>
      </x:c>
      <x:c r="C3" s="3"/>
      <x:c r="D3" s="3"/>
      <x:c r="E3" s="3" t="str">
        <x:v>Account</x:v>
      </x:c>
      <x:c r="F3" s="3" t="str">
        <x:v>accruals-2100</x:v>
      </x:c>
      <x:c r="G3" s="3"/>
      <x:c r="H3" s="3"/>
      <x:c r="I3" s="3"/>
      <x:c r="J3" s="3"/>
    </x:row>
    <x:row r="4" ht="22" customHeight="1">
      <x:c r="A4" s="3" t="str">
        <x:v>Period</x:v>
      </x:c>
      <x:c r="B4" s="3" t="str">
        <x:v>2026-08</x:v>
      </x:c>
      <x:c r="C4" s="3"/>
      <x:c r="D4" s="3"/>
      <x:c r="E4" s="3" t="str">
        <x:v>Owner</x:v>
      </x:c>
      <x:c r="F4" s="3" t="str">
        <x:v>Morgan Lee, Controller</x:v>
      </x:c>
      <x:c r="G4" s="3"/>
      <x:c r="H4" s="3"/>
      <x:c r="I4" s="3"/>
      <x:c r="J4" s="3"/>
    </x:row>
    <x:row r="5" ht="22" customHeight="1">
      <x:c r="A5" s="3" t="str">
        <x:v>Currency</x:v>
      </x:c>
      <x:c r="B5" s="3" t="str">
        <x:v>USD</x:v>
      </x:c>
      <x:c r="C5" s="3"/>
      <x:c r="D5" s="3"/>
      <x:c r="E5" s="3"/>
      <x:c r="F5" s="3"/>
      <x:c r="G5" s="3"/>
      <x:c r="H5" s="3"/>
      <x:c r="I5" s="3"/>
      <x:c r="J5" s="3"/>
    </x:row>
    <x:row r="6" ht="22" customHeight="1">
      <x:c r="A6" s="3" t="str">
        <x:v>Basis</x:v>
      </x:c>
      <x:c r="B6" s="3" t="str">
        <x:v>owner-supplied accrual basis</x:v>
      </x:c>
      <x:c r="C6" s="3"/>
      <x:c r="D6" s="3"/>
      <x:c r="E6" s="3"/>
      <x:c r="F6" s="3"/>
      <x:c r="G6" s="3"/>
      <x:c r="H6" s="3"/>
      <x:c r="I6" s="3"/>
      <x:c r="J6" s="3"/>
    </x:row>
    <x:row r="7" ht="22" customHeight="1">
      <x:c r="A7" s="3" t="str">
        <x:v>Opening: July 31. Closing: August 31, 2026.</x:v>
      </x:c>
      <x:c r="B7" s="3"/>
      <x:c r="C7" s="3"/>
      <x:c r="D7" s="3"/>
      <x:c r="E7" s="3"/>
      <x:c r="F7" s="3"/>
      <x:c r="G7" s="3"/>
      <x:c r="H7" s="3"/>
      <x:c r="I7" s="3"/>
      <x:c r="J7" s="3"/>
    </x:row>
    <x:row r="8" ht="22" customHeight="1">
      <x:c r="A8" s="3"/>
      <x:c r="B8" s="3"/>
      <x:c r="C8" s="3"/>
      <x:c r="D8" s="3"/>
      <x:c r="E8" s="3"/>
      <x:c r="F8" s="3"/>
      <x:c r="G8" s="3"/>
      <x:c r="H8" s="3"/>
      <x:c r="I8" s="3"/>
      <x:c r="J8" s="3"/>
    </x:row>
    <x:row r="9" ht="28" customHeight="1">
      <x:c r="A9" s="7" t="str">
        <x:v>Component</x:v>
      </x:c>
      <x:c r="B9" s="7" t="str">
        <x:v>USD</x:v>
      </x:c>
      <x:c r="C9" s="7" t="str">
        <x:v>Source</x:v>
      </x:c>
      <x:c r="D9" s="7" t="str">
        <x:v>Revision</x:v>
      </x:c>
      <x:c r="E9" s="7" t="str">
        <x:v>Entity</x:v>
      </x:c>
      <x:c r="F9" s="7" t="str">
        <x:v>Period</x:v>
      </x:c>
      <x:c r="G9" s="7" t="str">
        <x:v>Currency</x:v>
      </x:c>
      <x:c r="H9" s="7" t="str">
        <x:v>Basis</x:v>
      </x:c>
      <x:c r="I9" s="7" t="str">
        <x:v>Account</x:v>
      </x:c>
      <x:c r="J9" s="7" t="str">
        <x:v>Evidence state</x:v>
      </x:c>
    </x:row>
    <x:row r="10" ht="22" customHeight="1">
      <x:c r="A10" s="3" t="str">
        <x:v>Opening balance</x:v>
      </x:c>
      <x:c r="B10" s="9" t="n">
        <x:v>12000</x:v>
      </x:c>
      <x:c r="C10" s="3" t="str">
        <x:v>TB-OPEN</x:v>
      </x:c>
      <x:c r="D10" s="3" t="str">
        <x:v>r1</x:v>
      </x:c>
      <x:c r="E10" s="3" t="str">
        <x:v>Northwind Example Co</x:v>
      </x:c>
      <x:c r="F10" s="3" t="str">
        <x:v>2026-08</x:v>
      </x:c>
      <x:c r="G10" s="3" t="str">
        <x:v>USD</x:v>
      </x:c>
      <x:c r="H10" s="3" t="str">
        <x:v>owner-supplied accrual basis</x:v>
      </x:c>
      <x:c r="I10" s="3" t="str">
        <x:v>accruals-2100</x:v>
      </x:c>
      <x:c r="J10" s="3" t="str">
        <x:v>supplied-complete</x:v>
      </x:c>
    </x:row>
    <x:row r="11" ht="22" customHeight="1">
      <x:c r="A11" s="3" t="str">
        <x:v>Closing balance</x:v>
      </x:c>
      <x:c r="B11" s="9" t="n">
        <x:v>15500</x:v>
      </x:c>
      <x:c r="C11" s="3" t="str">
        <x:v>TB-CLOSE</x:v>
      </x:c>
      <x:c r="D11" s="3" t="str">
        <x:v>r2</x:v>
      </x:c>
      <x:c r="E11" s="3" t="str">
        <x:v>Northwind Example Co</x:v>
      </x:c>
      <x:c r="F11" s="3" t="str">
        <x:v>2026-08</x:v>
      </x:c>
      <x:c r="G11" s="3" t="str">
        <x:v>USD</x:v>
      </x:c>
      <x:c r="H11" s="3" t="str">
        <x:v>owner-supplied accrual basis</x:v>
      </x:c>
      <x:c r="I11" s="3" t="str">
        <x:v>accruals-2100</x:v>
      </x:c>
      <x:c r="J11" s="3" t="str">
        <x:v>supplied-complete</x:v>
      </x:c>
    </x:row>
    <x:row r="12" ht="22" customHeight="1">
      <x:c r="A12" s="3" t="str">
        <x:v>Supplier schedule change</x:v>
      </x:c>
      <x:c r="B12" s="9" t="n">
        <x:v>2100</x:v>
      </x:c>
      <x:c r="C12" s="3" t="str">
        <x:v>SCHED-SUPPLIER</x:v>
      </x:c>
      <x:c r="D12" s="3" t="str">
        <x:v>r1</x:v>
      </x:c>
      <x:c r="E12" s="3" t="str">
        <x:v>Northwind Example Co</x:v>
      </x:c>
      <x:c r="F12" s="3" t="str">
        <x:v>2026-08</x:v>
      </x:c>
      <x:c r="G12" s="3" t="str">
        <x:v>USD</x:v>
      </x:c>
      <x:c r="H12" s="3" t="str">
        <x:v>owner-supplied accrual basis</x:v>
      </x:c>
      <x:c r="I12" s="3" t="str">
        <x:v>accruals-2100</x:v>
      </x:c>
      <x:c r="J12" s="3" t="str">
        <x:v>supplied-complete</x:v>
      </x:c>
    </x:row>
    <x:row r="13" ht="22" customHeight="1">
      <x:c r="A13" s="3" t="str">
        <x:v>Payroll schedule change</x:v>
      </x:c>
      <x:c r="B13" s="9" t="n">
        <x:v>900</x:v>
      </x:c>
      <x:c r="C13" s="3" t="str">
        <x:v>SCHED-PAYROLL</x:v>
      </x:c>
      <x:c r="D13" s="3" t="str">
        <x:v>r1</x:v>
      </x:c>
      <x:c r="E13" s="3" t="str">
        <x:v>Northwind Example Co</x:v>
      </x:c>
      <x:c r="F13" s="3" t="str">
        <x:v>2026-08</x:v>
      </x:c>
      <x:c r="G13" s="3" t="str">
        <x:v>USD</x:v>
      </x:c>
      <x:c r="H13" s="3" t="str">
        <x:v>owner-supplied accrual basis</x:v>
      </x:c>
      <x:c r="I13" s="3" t="str">
        <x:v>accruals-2100</x:v>
      </x:c>
      <x:c r="J13" s="3" t="str">
        <x:v>supplied-complete</x:v>
      </x:c>
    </x:row>
    <x:row r="14" ht="22" customHeight="1">
      <x:c r="A14" s="3"/>
      <x:c r="B14" s="3"/>
      <x:c r="C14" s="3"/>
      <x:c r="D14" s="3"/>
      <x:c r="E14" s="3"/>
      <x:c r="F14" s="3"/>
      <x:c r="G14" s="3"/>
      <x:c r="H14" s="3"/>
      <x:c r="I14" s="3"/>
      <x:c r="J14" s="3"/>
    </x:row>
    <x:row r="15" ht="22" customHeight="1">
      <x:c r="A15" s="3"/>
      <x:c r="B15" s="3"/>
      <x:c r="C15" s="3"/>
      <x:c r="D15" s="3"/>
      <x:c r="E15" s="3"/>
      <x:c r="F15" s="3"/>
      <x:c r="G15" s="3"/>
      <x:c r="H15" s="3"/>
      <x:c r="I15" s="3"/>
      <x:c r="J15" s="3"/>
    </x:row>
    <x:row r="16" ht="22" customHeight="1">
      <x:c r="A16" s="3" t="str">
        <x:v>Separate account: operating-001</x:v>
      </x:c>
      <x:c r="B16" s="3"/>
      <x:c r="C16" s="3"/>
      <x:c r="D16" s="3"/>
      <x:c r="E16" s="3"/>
      <x:c r="F16" s="3"/>
      <x:c r="G16" s="3"/>
      <x:c r="H16" s="3"/>
      <x:c r="I16" s="3"/>
      <x:c r="J16" s="3"/>
    </x:row>
    <x:row r="17" ht="28" customHeight="1">
      <x:c r="A17" s="7" t="str">
        <x:v>Residual</x:v>
      </x:c>
      <x:c r="B17" s="7" t="str">
        <x:v>USD</x:v>
      </x:c>
      <x:c r="C17" s="7" t="str">
        <x:v>Side</x:v>
      </x:c>
      <x:c r="D17" s="7" t="str">
        <x:v>Reason</x:v>
      </x:c>
      <x:c r="E17" s="7" t="str">
        <x:v>Next owner</x:v>
      </x:c>
      <x:c r="F17" s="7" t="str">
        <x:v>Source row</x:v>
      </x:c>
      <x:c r="G17" s="3"/>
      <x:c r="H17" s="3"/>
      <x:c r="I17" s="3"/>
      <x:c r="J17" s="3"/>
    </x:row>
    <x:row r="18" ht="22" customHeight="1">
      <x:c r="A18" s="3" t="str">
        <x:v>residual-ledger-review</x:v>
      </x:c>
      <x:c r="B18" s="9" t="n">
        <x:v>1.25</x:v>
      </x:c>
      <x:c r="C18" s="3" t="str">
        <x:v>ledger</x:v>
      </x:c>
      <x:c r="D18" s="3" t="str">
        <x:v>owner-review-needed</x:v>
      </x:c>
      <x:c r="E18" s="3" t="str">
        <x:v>Ruth Abara</x:v>
      </x:c>
      <x:c r="F18" s="3" t="str">
        <x:v>ledger-row-residual</x:v>
      </x:c>
      <x:c r="G18" s="3"/>
      <x:c r="H18" s="3"/>
      <x:c r="I18" s="3"/>
      <x:c r="J18" s="3"/>
    </x:row>
    <x:row r="19" ht="22" customHeight="1">
      <x:c r="A19" s="3" t="str">
        <x:v>residual-statement-timing</x:v>
      </x:c>
      <x:c r="B19" s="9" t="n">
        <x:v>-0.9</x:v>
      </x:c>
      <x:c r="C19" s="3" t="str">
        <x:v>statement</x:v>
      </x:c>
      <x:c r="D19" s="3" t="str">
        <x:v>timing-difference</x:v>
      </x:c>
      <x:c r="E19" s="3" t="str">
        <x:v>Ruth Abara</x:v>
      </x:c>
      <x:c r="F19" s="3" t="str">
        <x:v>statement-row-residual</x:v>
      </x:c>
      <x:c r="G19" s="3"/>
      <x:c r="H19" s="3"/>
      <x:c r="I19" s="3"/>
      <x:c r="J19" s="3"/>
    </x:row>
    <x:row r="20" ht="22" customHeight="1">
      <x:c r="A20" s="3"/>
      <x:c r="B20" s="3"/>
      <x:c r="C20" s="3"/>
      <x:c r="D20" s="3"/>
      <x:c r="E20" s="3"/>
      <x:c r="F20" s="3"/>
      <x:c r="G20" s="3"/>
      <x:c r="H20" s="3"/>
      <x:c r="I20" s="3"/>
      <x:c r="J20" s="3"/>
    </x:row>
  </x:sheetData>
  <x:pageMargins left="0.7" right="0.7" top="0.75" bottom="0.75" header="0.3" footer="0.3"/>
</x:worksheet>
</file>