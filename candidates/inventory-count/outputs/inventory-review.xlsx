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c45e35b7e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 review" sheetId="1" r:id="R5386e2f46d6e4e77"/>
    <x:sheet xmlns:r="http://schemas.openxmlformats.org/officeDocument/2006/relationships" name="Sources" sheetId="2" r:id="Rdda564211f92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 hh:mm"/>
    <x:numFmt numFmtId="201" formatCode="0"/>
    <x:numFmt numFmtId="202" formatCode="0;[Red](0);0"/>
  </x:numFmts>
  <x:fonts count="4">
    <x:font>
      <x:sz val="11"/>
      <x:name val="Carlito"/>
    </x:font>
    <x:font>
      <x:sz val="11"/>
      <x:color rgb="FF202124"/>
      <x:name val="Arial"/>
    </x:font>
    <x:font>
      <x:sz val="15"/>
      <x:color rgb="FF20212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B4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242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5a3e8c0554637" /><Relationship Type="http://schemas.openxmlformats.org/officeDocument/2006/relationships/theme" Target="/xl/theme/theme1.xml" Id="Rd8e6efda69aa48e4" /><Relationship Type="http://schemas.openxmlformats.org/officeDocument/2006/relationships/sharedStrings" Target="/xl/sharedStrings.xml" Id="R28a2f33ccbf54b45" /><Relationship Type="http://schemas.openxmlformats.org/officeDocument/2006/relationships/worksheet" Target="/xl/worksheets/sheet1.xml" Id="R5386e2f46d6e4e77" /><Relationship Type="http://schemas.openxmlformats.org/officeDocument/2006/relationships/worksheet" Target="/xl/worksheets/sheet2.xml" Id="Rdda564211f92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5" hidden="0" customWidth="1"/>
    <x:col min="4" max="4" width="16" hidden="0" customWidth="1"/>
    <x:col min="5" max="5" width="16" hidden="0" customWidth="1"/>
    <x:col min="6" max="6" width="13" hidden="0" customWidth="1"/>
    <x:col min="7" max="7" width="17" hidden="0" customWidth="1"/>
    <x:col min="8" max="8" width="4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Inventory count review (synthetic)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units including holds. Owner review pending for every row.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6" t="str">
        <x:v>Case</x:v>
      </x:c>
      <x:c r="B5" s="6" t="str">
        <x:v>Book</x:v>
      </x:c>
      <x:c r="C5" s="6" t="str">
        <x:v>Net movement</x:v>
      </x:c>
      <x:c r="D5" s="6" t="str">
        <x:v>Comparison</x:v>
      </x:c>
      <x:c r="E5" s="6" t="str">
        <x:v>Selected count</x:v>
      </x:c>
      <x:c r="F5" s="6" t="str">
        <x:v>Variance</x:v>
      </x:c>
      <x:c r="G5" s="6" t="str">
        <x:v>Owner selection</x:v>
      </x:c>
      <x:c r="H5" s="6" t="str">
        <x:v>Review state</x:v>
      </x:c>
    </x:row>
    <x:row r="6" ht="24" customHeight="1">
      <x:c r="A6" s="2" t="str">
        <x:v>bin-a</x:v>
      </x:c>
      <x:c r="B6" s="11" t="n">
        <x:f>IF(ISNUMBER('Sources'!B13),'Sources'!B13,"n.a.")</x:f>
        <x:v>10</x:v>
      </x:c>
      <x:c r="C6" s="11" t="n">
        <x:f>IF(AND('Sources'!$B$3="inventory-example-r1",'Sources'!$B$4="Synthetic warehouse W1, listed item/bin/lot only; physical company-owned units including holds",'Sources'!B6="bin-a",'Sources'!B7="SKU-1",'Sources'!B8="A",'Sources'!B9="L1",'Sources'!B10="each",'Sources'!B24="r1",'Sources'!B18="company",'Sources'!B19="physical-including-held",'Sources'!B23="supplied",'Sources'!B17="complete",OR('Sources'!B16="excluded",'Sources'!B16="included"),ISNUMBER('Sources'!B11),ISNUMBER('Sources'!B12),ISNUMBER('Sources'!B15),'Sources'!B11&lt;='Sources'!B15,'Sources'!B15&lt;='Sources'!B12,ISNUMBER('Sources'!B13),ISNUMBER('Sources'!B14)),IF('Sources'!B16="excluded",'Sources'!B14,0),"n.a.")</x:f>
        <x:v>0</x:v>
      </x:c>
      <x:c r="D6" s="11" t="n">
        <x:f>IF(COUNT(B6:C6)=2,SUM(B6:C6),"n.a.")</x:f>
        <x:v>10</x:v>
      </x:c>
      <x:c r="E6" s="11" t="n">
        <x:f>IF(AND(G6="first",ISNUMBER('Sources'!B20)),'Sources'!B20,IF(AND(G6="second",ISNUMBER('Sources'!B21)),'Sources'!B21,"n.a."))</x:f>
        <x:v>8</x:v>
      </x:c>
      <x:c r="F6" s="11" t="n">
        <x:f>IF(COUNT(D6:E6)=2,E6-D6,"n.a.")</x:f>
        <x:v>-2</x:v>
      </x:c>
      <x:c r="G6" s="13" t="str">
        <x:v>first</x:v>
      </x:c>
      <x:c r="H6" s="2" t="str">
        <x:f>IF(NOT(ISNUMBER(D6)),"Supply basis / movement / revision",IF(NOT(ISNUMBER(E6)),"Supply count / owner selection","Owner review pending"))</x:f>
        <x:v>Owner review pending</x:v>
      </x:c>
    </x:row>
    <x:row r="7" ht="24" customHeight="1">
      <x:c r="A7" s="2" t="str">
        <x:v>bin-b</x:v>
      </x:c>
      <x:c r="B7" s="11" t="n">
        <x:f>IF(ISNUMBER('Sources'!C13),'Sources'!C13,"n.a.")</x:f>
        <x:v>10</x:v>
      </x:c>
      <x:c r="C7" s="11" t="n">
        <x:f>IF(AND('Sources'!$B$3="inventory-example-r1",'Sources'!$B$4="Synthetic warehouse W1, listed item/bin/lot only; physical company-owned units including holds",'Sources'!C6="bin-b",'Sources'!C7="SKU-1",'Sources'!C8="B",'Sources'!C9="L1",'Sources'!C10="each",'Sources'!C24="r1",'Sources'!C18="company",'Sources'!C19="physical-including-held",'Sources'!C23="supplied",'Sources'!C17="complete",OR('Sources'!C16="excluded",'Sources'!C16="included"),ISNUMBER('Sources'!C11),ISNUMBER('Sources'!C12),ISNUMBER('Sources'!C15),'Sources'!C11&lt;='Sources'!C15,'Sources'!C15&lt;='Sources'!C12,ISNUMBER('Sources'!C13),ISNUMBER('Sources'!C14)),IF('Sources'!C16="excluded",'Sources'!C14,0),"n.a.")</x:f>
        <x:v>0</x:v>
      </x:c>
      <x:c r="D7" s="11" t="n">
        <x:f>IF(COUNT(B7:C7)=2,SUM(B7:C7),"n.a.")</x:f>
        <x:v>10</x:v>
      </x:c>
      <x:c r="E7" s="11" t="n">
        <x:f>IF(AND(G7="first",ISNUMBER('Sources'!C20)),'Sources'!C20,IF(AND(G7="second",ISNUMBER('Sources'!C21)),'Sources'!C21,"n.a."))</x:f>
        <x:v>12</x:v>
      </x:c>
      <x:c r="F7" s="11" t="n">
        <x:f>IF(COUNT(D7:E7)=2,E7-D7,"n.a.")</x:f>
        <x:v>2</x:v>
      </x:c>
      <x:c r="G7" s="13" t="str">
        <x:v>first</x:v>
      </x:c>
      <x:c r="H7" s="2" t="str">
        <x:f>IF(NOT(ISNUMBER(D7)),"Supply basis / movement / revision",IF(NOT(ISNUMBER(E7)),"Supply count / owner selection","Owner review pending"))</x:f>
        <x:v>Owner review pending</x:v>
      </x:c>
    </x:row>
    <x:row r="8" ht="24" customHeight="1">
      <x:c r="A8" s="2" t="str">
        <x:v>receipt</x:v>
      </x:c>
      <x:c r="B8" s="11" t="n">
        <x:f>IF(ISNUMBER('Sources'!D13),'Sources'!D13,"n.a.")</x:f>
        <x:v>10</x:v>
      </x:c>
      <x:c r="C8" s="11" t="n">
        <x:f>IF(AND('Sources'!$B$3="inventory-example-r1",'Sources'!$B$4="Synthetic warehouse W1, listed item/bin/lot only; physical company-owned units including holds",'Sources'!D6="receipt",'Sources'!D7="SKU-2",'Sources'!D8="C",'Sources'!D9="L2",'Sources'!D10="each",'Sources'!D24="r1",'Sources'!D18="company",'Sources'!D19="physical-including-held",'Sources'!D23="supplied",'Sources'!D17="complete",OR('Sources'!D16="excluded",'Sources'!D16="included"),ISNUMBER('Sources'!D11),ISNUMBER('Sources'!D12),ISNUMBER('Sources'!D15),'Sources'!D11&lt;='Sources'!D15,'Sources'!D15&lt;='Sources'!D12,ISNUMBER('Sources'!D13),ISNUMBER('Sources'!D14)),IF('Sources'!D16="excluded",'Sources'!D14,0),"n.a.")</x:f>
        <x:v>3</x:v>
      </x:c>
      <x:c r="D8" s="11" t="n">
        <x:f>IF(COUNT(B8:C8)=2,SUM(B8:C8),"n.a.")</x:f>
        <x:v>13</x:v>
      </x:c>
      <x:c r="E8" s="11" t="n">
        <x:f>IF(AND(G8="first",ISNUMBER('Sources'!D20)),'Sources'!D20,IF(AND(G8="second",ISNUMBER('Sources'!D21)),'Sources'!D21,"n.a."))</x:f>
        <x:v>12</x:v>
      </x:c>
      <x:c r="F8" s="11" t="n">
        <x:f>IF(COUNT(D8:E8)=2,E8-D8,"n.a.")</x:f>
        <x:v>-1</x:v>
      </x:c>
      <x:c r="G8" s="13" t="str">
        <x:v>first</x:v>
      </x:c>
      <x:c r="H8" s="2" t="str">
        <x:f>IF(NOT(ISNUMBER(D8)),"Supply basis / movement / revision",IF(NOT(ISNUMBER(E8)),"Supply count / owner selection","Owner review pending"))</x:f>
        <x:v>Owner review pending</x:v>
      </x:c>
    </x:row>
    <x:row r="9" ht="24" customHeight="1">
      <x:c r="A9" s="2" t="str">
        <x:v>no-rule</x:v>
      </x:c>
      <x:c r="B9" s="11" t="n">
        <x:f>IF(ISNUMBER('Sources'!E13),'Sources'!E13,"n.a.")</x:f>
        <x:v>10</x:v>
      </x:c>
      <x:c r="C9" s="11" t="str">
        <x:f>IF(AND('Sources'!$B$3="inventory-example-r1",'Sources'!$B$4="Synthetic warehouse W1, listed item/bin/lot only; physical company-owned units including holds",'Sources'!E6="no-rule",'Sources'!E7="SKU-3",'Sources'!E8="D",'Sources'!E9="L3",'Sources'!E10="each",'Sources'!E24="r1",'Sources'!E18="company",'Sources'!E19="physical-including-held",'Sources'!E23="supplied",'Sources'!E17="complete",OR('Sources'!E16="excluded",'Sources'!E16="included"),ISNUMBER('Sources'!E11),ISNUMBER('Sources'!E12),ISNUMBER('Sources'!E15),'Sources'!E11&lt;='Sources'!E15,'Sources'!E15&lt;='Sources'!E12,ISNUMBER('Sources'!E13),ISNUMBER('Sources'!E14)),IF('Sources'!E16="excluded",'Sources'!E14,0),"n.a.")</x:f>
        <x:v>n.a.</x:v>
      </x:c>
      <x:c r="D9" s="11" t="str">
        <x:f>IF(COUNT(B9:C9)=2,SUM(B9:C9),"n.a.")</x:f>
        <x:v>n.a.</x:v>
      </x:c>
      <x:c r="E9" s="11" t="n">
        <x:f>IF(AND(G9="first",ISNUMBER('Sources'!E20)),'Sources'!E20,IF(AND(G9="second",ISNUMBER('Sources'!E21)),'Sources'!E21,"n.a."))</x:f>
        <x:v>12</x:v>
      </x:c>
      <x:c r="F9" s="11" t="str">
        <x:f>IF(COUNT(D9:E9)=2,E9-D9,"n.a.")</x:f>
        <x:v>n.a.</x:v>
      </x:c>
      <x:c r="G9" s="13" t="str">
        <x:v>first</x:v>
      </x:c>
      <x:c r="H9" s="2" t="str">
        <x:f>IF(NOT(ISNUMBER(D9)),"Supply basis / movement / revision",IF(NOT(ISNUMBER(E9)),"Supply count / owner selection","Owner review pending"))</x:f>
        <x:v>Supply basis / movement / revision</x:v>
      </x:c>
    </x:row>
    <x:row r="10" ht="24" customHeight="1">
      <x:c r="A10" s="2" t="str">
        <x:v>held</x:v>
      </x:c>
      <x:c r="B10" s="11" t="n">
        <x:f>IF(ISNUMBER('Sources'!F13),'Sources'!F13,"n.a.")</x:f>
        <x:v>10</x:v>
      </x:c>
      <x:c r="C10" s="11" t="n">
        <x:f>IF(AND('Sources'!$B$3="inventory-example-r1",'Sources'!$B$4="Synthetic warehouse W1, listed item/bin/lot only; physical company-owned units including holds",'Sources'!F6="held",'Sources'!F7="SKU-4",'Sources'!F8="E",'Sources'!F9="L4",'Sources'!F10="each",'Sources'!F24="r1",'Sources'!F18="company",'Sources'!F19="physical-including-held",'Sources'!F23="supplied",'Sources'!F17="complete",OR('Sources'!F16="excluded",'Sources'!F16="included"),ISNUMBER('Sources'!F11),ISNUMBER('Sources'!F12),ISNUMBER('Sources'!F15),'Sources'!F11&lt;='Sources'!F15,'Sources'!F15&lt;='Sources'!F12,ISNUMBER('Sources'!F13),ISNUMBER('Sources'!F14)),IF('Sources'!F16="excluded",'Sources'!F14,0),"n.a.")</x:f>
        <x:v>0</x:v>
      </x:c>
      <x:c r="D10" s="11" t="n">
        <x:f>IF(COUNT(B10:C10)=2,SUM(B10:C10),"n.a.")</x:f>
        <x:v>10</x:v>
      </x:c>
      <x:c r="E10" s="11" t="n">
        <x:f>IF(AND(G10="first",ISNUMBER('Sources'!F20)),'Sources'!F20,IF(AND(G10="second",ISNUMBER('Sources'!F21)),'Sources'!F21,"n.a."))</x:f>
        <x:v>10</x:v>
      </x:c>
      <x:c r="F10" s="11" t="n">
        <x:f>IF(COUNT(D10:E10)=2,E10-D10,"n.a.")</x:f>
        <x:v>0</x:v>
      </x:c>
      <x:c r="G10" s="13" t="str">
        <x:v>first</x:v>
      </x:c>
      <x:c r="H10" s="2" t="str">
        <x:f>IF(NOT(ISNUMBER(D10)),"Supply basis / movement / revision",IF(NOT(ISNUMBER(E10)),"Supply count / owner selection","Owner review pending"))</x:f>
        <x:v>Owner review pending</x:v>
      </x:c>
    </x:row>
    <x:row r="11" ht="24" customHeight="1">
      <x:c r="A11" s="2" t="str">
        <x:v>no-basis</x:v>
      </x:c>
      <x:c r="B11" s="11" t="n">
        <x:f>IF(ISNUMBER('Sources'!G13),'Sources'!G13,"n.a.")</x:f>
        <x:v>10</x:v>
      </x:c>
      <x:c r="C11" s="11" t="str">
        <x:f>IF(AND('Sources'!$B$3="inventory-example-r1",'Sources'!$B$4="Synthetic warehouse W1, listed item/bin/lot only; physical company-owned units including holds",'Sources'!G6="no-basis",'Sources'!G7="SKU-5",'Sources'!G8="F",'Sources'!G9="L5",'Sources'!G10="each",'Sources'!G24="r1",'Sources'!G18="company",'Sources'!G19="physical-including-held",'Sources'!G23="supplied",'Sources'!G17="complete",OR('Sources'!G16="excluded",'Sources'!G16="included"),ISNUMBER('Sources'!G11),ISNUMBER('Sources'!G12),ISNUMBER('Sources'!G15),'Sources'!G11&lt;='Sources'!G15,'Sources'!G15&lt;='Sources'!G12,ISNUMBER('Sources'!G13),ISNUMBER('Sources'!G14)),IF('Sources'!G16="excluded",'Sources'!G14,0),"n.a.")</x:f>
        <x:v>n.a.</x:v>
      </x:c>
      <x:c r="D11" s="11" t="str">
        <x:f>IF(COUNT(B11:C11)=2,SUM(B11:C11),"n.a.")</x:f>
        <x:v>n.a.</x:v>
      </x:c>
      <x:c r="E11" s="11" t="n">
        <x:f>IF(AND(G11="first",ISNUMBER('Sources'!G20)),'Sources'!G20,IF(AND(G11="second",ISNUMBER('Sources'!G21)),'Sources'!G21,"n.a."))</x:f>
        <x:v>10</x:v>
      </x:c>
      <x:c r="F11" s="11" t="str">
        <x:f>IF(COUNT(D11:E11)=2,E11-D11,"n.a.")</x:f>
        <x:v>n.a.</x:v>
      </x:c>
      <x:c r="G11" s="13" t="str">
        <x:v>first</x:v>
      </x:c>
      <x:c r="H11" s="2" t="str">
        <x:f>IF(NOT(ISNUMBER(D11)),"Supply basis / movement / revision",IF(NOT(ISNUMBER(E11)),"Supply count / owner selection","Owner review pending"))</x:f>
        <x:v>Supply basis / movement / revision</x:v>
      </x:c>
    </x:row>
    <x:row r="12" ht="24" customHeight="1">
      <x:c r="A12" s="2" t="str">
        <x:v>missing</x:v>
      </x:c>
      <x:c r="B12" s="11" t="n">
        <x:f>IF(ISNUMBER('Sources'!H13),'Sources'!H13,"n.a.")</x:f>
        <x:v>10</x:v>
      </x:c>
      <x:c r="C12" s="11" t="n">
        <x:f>IF(AND('Sources'!$B$3="inventory-example-r1",'Sources'!$B$4="Synthetic warehouse W1, listed item/bin/lot only; physical company-owned units including holds",'Sources'!H6="missing",'Sources'!H7="SKU-6",'Sources'!H8="G",'Sources'!H9="L6",'Sources'!H10="each",'Sources'!H24="r1",'Sources'!H18="company",'Sources'!H19="physical-including-held",'Sources'!H23="supplied",'Sources'!H17="complete",OR('Sources'!H16="excluded",'Sources'!H16="included"),ISNUMBER('Sources'!H11),ISNUMBER('Sources'!H12),ISNUMBER('Sources'!H15),'Sources'!H11&lt;='Sources'!H15,'Sources'!H15&lt;='Sources'!H12,ISNUMBER('Sources'!H13),ISNUMBER('Sources'!H14)),IF('Sources'!H16="excluded",'Sources'!H14,0),"n.a.")</x:f>
        <x:v>0</x:v>
      </x:c>
      <x:c r="D12" s="11" t="n">
        <x:f>IF(COUNT(B12:C12)=2,SUM(B12:C12),"n.a.")</x:f>
        <x:v>10</x:v>
      </x:c>
      <x:c r="E12" s="11" t="str">
        <x:f>IF(AND(G12="first",ISNUMBER('Sources'!H20)),'Sources'!H20,IF(AND(G12="second",ISNUMBER('Sources'!H21)),'Sources'!H21,"n.a."))</x:f>
        <x:v>n.a.</x:v>
      </x:c>
      <x:c r="F12" s="11" t="str">
        <x:f>IF(COUNT(D12:E12)=2,E12-D12,"n.a.")</x:f>
        <x:v>n.a.</x:v>
      </x:c>
      <x:c r="G12" s="13" t="str">
        <x:v>first</x:v>
      </x:c>
      <x:c r="H12" s="2" t="str">
        <x:f>IF(NOT(ISNUMBER(D12)),"Supply basis / movement / revision",IF(NOT(ISNUMBER(E12)),"Supply count / owner selection","Owner review pending"))</x:f>
        <x:v>Supply count / owner selection</x:v>
      </x:c>
    </x:row>
    <x:row r="13" ht="24" customHeight="1">
      <x:c r="A13" s="2" t="str">
        <x:v>zero</x:v>
      </x:c>
      <x:c r="B13" s="11" t="n">
        <x:f>IF(ISNUMBER('Sources'!I13),'Sources'!I13,"n.a.")</x:f>
        <x:v>10</x:v>
      </x:c>
      <x:c r="C13" s="11" t="n">
        <x:f>IF(AND('Sources'!$B$3="inventory-example-r1",'Sources'!$B$4="Synthetic warehouse W1, listed item/bin/lot only; physical company-owned units including holds",'Sources'!I6="zero",'Sources'!I7="SKU-7",'Sources'!I8="H",'Sources'!I9="L7",'Sources'!I10="each",'Sources'!I24="r1",'Sources'!I18="company",'Sources'!I19="physical-including-held",'Sources'!I23="supplied",'Sources'!I17="complete",OR('Sources'!I16="excluded",'Sources'!I16="included"),ISNUMBER('Sources'!I11),ISNUMBER('Sources'!I12),ISNUMBER('Sources'!I15),'Sources'!I11&lt;='Sources'!I15,'Sources'!I15&lt;='Sources'!I12,ISNUMBER('Sources'!I13),ISNUMBER('Sources'!I14)),IF('Sources'!I16="excluded",'Sources'!I14,0),"n.a.")</x:f>
        <x:v>0</x:v>
      </x:c>
      <x:c r="D13" s="11" t="n">
        <x:f>IF(COUNT(B13:C13)=2,SUM(B13:C13),"n.a.")</x:f>
        <x:v>10</x:v>
      </x:c>
      <x:c r="E13" s="11" t="n">
        <x:f>IF(AND(G13="first",ISNUMBER('Sources'!I20)),'Sources'!I20,IF(AND(G13="second",ISNUMBER('Sources'!I21)),'Sources'!I21,"n.a."))</x:f>
        <x:v>0</x:v>
      </x:c>
      <x:c r="F13" s="11" t="n">
        <x:f>IF(COUNT(D13:E13)=2,E13-D13,"n.a.")</x:f>
        <x:v>-10</x:v>
      </x:c>
      <x:c r="G13" s="13" t="str">
        <x:v>first</x:v>
      </x:c>
      <x:c r="H13" s="2" t="str">
        <x:f>IF(NOT(ISNUMBER(D13)),"Supply basis / movement / revision",IF(NOT(ISNUMBER(E13)),"Supply count / owner selection","Owner review pending"))</x:f>
        <x:v>Owner review pending</x:v>
      </x:c>
    </x:row>
    <x:row r="14" ht="24" customHeight="1">
      <x:c r="A14" s="2" t="str">
        <x:v>recount</x:v>
      </x:c>
      <x:c r="B14" s="11" t="n">
        <x:f>IF(ISNUMBER('Sources'!J13),'Sources'!J13,"n.a.")</x:f>
        <x:v>10</x:v>
      </x:c>
      <x:c r="C14" s="11" t="n">
        <x:f>IF(AND('Sources'!$B$3="inventory-example-r1",'Sources'!$B$4="Synthetic warehouse W1, listed item/bin/lot only; physical company-owned units including holds",'Sources'!J6="recount",'Sources'!J7="SKU-8",'Sources'!J8="I",'Sources'!J9="L8",'Sources'!J10="each",'Sources'!J24="r1",'Sources'!J18="company",'Sources'!J19="physical-including-held",'Sources'!J23="supplied",'Sources'!J17="complete",OR('Sources'!J16="excluded",'Sources'!J16="included"),ISNUMBER('Sources'!J11),ISNUMBER('Sources'!J12),ISNUMBER('Sources'!J15),'Sources'!J11&lt;='Sources'!J15,'Sources'!J15&lt;='Sources'!J12,ISNUMBER('Sources'!J13),ISNUMBER('Sources'!J14)),IF('Sources'!J16="excluded",'Sources'!J14,0),"n.a.")</x:f>
        <x:v>0</x:v>
      </x:c>
      <x:c r="D14" s="11" t="n">
        <x:f>IF(COUNT(B14:C14)=2,SUM(B14:C14),"n.a.")</x:f>
        <x:v>10</x:v>
      </x:c>
      <x:c r="E14" s="11" t="str">
        <x:f>IF(AND(G14="first",ISNUMBER('Sources'!J20)),'Sources'!J20,IF(AND(G14="second",ISNUMBER('Sources'!J21)),'Sources'!J21,"n.a."))</x:f>
        <x:v>n.a.</x:v>
      </x:c>
      <x:c r="F14" s="11" t="str">
        <x:f>IF(COUNT(D14:E14)=2,E14-D14,"n.a.")</x:f>
        <x:v>n.a.</x:v>
      </x:c>
      <x:c r="G14" s="13"/>
      <x:c r="H14" s="2" t="str">
        <x:f>IF(NOT(ISNUMBER(D14)),"Supply basis / movement / revision",IF(NOT(ISNUMBER(E14)),"Supply count / owner selection","Owner review pending"))</x:f>
        <x:v>Supply count / owner selection</x:v>
      </x:c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Owner selection: first or second. Missing decisions remain open.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 t="str">
        <x:v>Held case: 10 physical includes 2 held. Do not substitute 8 eligible units.</x:v>
      </x:c>
      <x:c r="B17" s="2"/>
      <x:c r="C17" s="2"/>
      <x:c r="D17" s="2"/>
      <x:c r="E17" s="2"/>
      <x:c r="F17" s="2"/>
      <x:c r="G17" s="2"/>
      <x:c r="H17" s="2"/>
    </x:row>
    <x:row r="18" ht="24" customHeight="1">
      <x:c r="A18" s="2" t="str">
        <x:v>No aggregate netting, adjustments, purchase orders or certification.</x:v>
      </x:c>
      <x:c r="B18" s="2"/>
      <x:c r="C18" s="2"/>
      <x:c r="D18" s="2"/>
      <x:c r="E18" s="2"/>
      <x:c r="F18" s="2"/>
      <x:c r="G18" s="2"/>
      <x:c r="H18" s="2"/>
    </x:row>
    <x:row r="19" ht="24" customHeight="1">
      <x:c r="A19" s="2" t="str">
        <x:v>Changed sources or selections invalidate saved proof and require fresh review.</x:v>
      </x:c>
      <x:c r="B19" s="2"/>
      <x:c r="C19" s="2"/>
      <x:c r="D19" s="2"/>
      <x:c r="E19" s="2"/>
      <x:c r="F19" s="2"/>
      <x:c r="G19" s="2"/>
      <x:c r="H19" s="2"/>
    </x:row>
  </x:sheetData>
  <x:conditionalFormatting sqref="F6:F14">
    <x:cfRule type="cellIs" dxfId="0" priority="1" operator="notEqual">
      <x:formula>0</x:formula>
    </x:cfRule>
  </x:conditionalFormatting>
  <x:dataValidations count="9">
    <x:dataValidation type="list" sqref="G6">
      <x:formula1>"first,second"</x:formula1>
    </x:dataValidation>
    <x:dataValidation type="list" sqref="G7">
      <x:formula1>"first,second"</x:formula1>
    </x:dataValidation>
    <x:dataValidation type="list" sqref="G8">
      <x:formula1>"first,second"</x:formula1>
    </x:dataValidation>
    <x:dataValidation type="list" sqref="G9">
      <x:formula1>"first,second"</x:formula1>
    </x:dataValidation>
    <x:dataValidation type="list" sqref="G10">
      <x:formula1>"first,second"</x:formula1>
    </x:dataValidation>
    <x:dataValidation type="list" sqref="G11">
      <x:formula1>"first,second"</x:formula1>
    </x:dataValidation>
    <x:dataValidation type="list" sqref="G12">
      <x:formula1>"first,second"</x:formula1>
    </x:dataValidation>
    <x:dataValidation type="list" sqref="G13">
      <x:formula1>"first,second"</x:formula1>
    </x:dataValidation>
    <x:dataValidation type="list" sqref="G14">
      <x:formula1>"first,second"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Inventory count sources (synthetic)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Revision</x:v>
      </x:c>
      <x:c r="B3" s="2" t="str">
        <x:v>inventory-example-r1</x:v>
      </x:c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Scope</x:v>
      </x:c>
      <x:c r="B4" s="2" t="str">
        <x:v>Synthetic warehouse W1, listed item/bin/lot only; physical company-owned units including holds</x:v>
      </x:c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6" t="str">
        <x:v>Case</x:v>
      </x:c>
      <x:c r="B6" s="6" t="str">
        <x:v>bin-a</x:v>
      </x:c>
      <x:c r="C6" s="6" t="str">
        <x:v>bin-b</x:v>
      </x:c>
      <x:c r="D6" s="6" t="str">
        <x:v>receipt</x:v>
      </x:c>
      <x:c r="E6" s="6" t="str">
        <x:v>no-rule</x:v>
      </x:c>
      <x:c r="F6" s="6" t="str">
        <x:v>held</x:v>
      </x:c>
      <x:c r="G6" s="6" t="str">
        <x:v>no-basis</x:v>
      </x:c>
      <x:c r="H6" s="6" t="str">
        <x:v>missing</x:v>
      </x:c>
      <x:c r="I6" s="6" t="str">
        <x:v>zero</x:v>
      </x:c>
      <x:c r="J6" s="6" t="str">
        <x:v>recount</x:v>
      </x:c>
    </x:row>
    <x:row r="7" ht="24" customHeight="1">
      <x:c r="A7" s="2" t="str">
        <x:v>Item</x:v>
      </x:c>
      <x:c r="B7" s="2" t="str">
        <x:v>SKU-1</x:v>
      </x:c>
      <x:c r="C7" s="2" t="str">
        <x:v>SKU-1</x:v>
      </x:c>
      <x:c r="D7" s="2" t="str">
        <x:v>SKU-2</x:v>
      </x:c>
      <x:c r="E7" s="2" t="str">
        <x:v>SKU-3</x:v>
      </x:c>
      <x:c r="F7" s="2" t="str">
        <x:v>SKU-4</x:v>
      </x:c>
      <x:c r="G7" s="2" t="str">
        <x:v>SKU-5</x:v>
      </x:c>
      <x:c r="H7" s="2" t="str">
        <x:v>SKU-6</x:v>
      </x:c>
      <x:c r="I7" s="2" t="str">
        <x:v>SKU-7</x:v>
      </x:c>
      <x:c r="J7" s="2" t="str">
        <x:v>SKU-8</x:v>
      </x:c>
    </x:row>
    <x:row r="8" ht="24" customHeight="1">
      <x:c r="A8" s="2" t="str">
        <x:v>Bin</x:v>
      </x:c>
      <x:c r="B8" s="2" t="str">
        <x:v>A</x:v>
      </x:c>
      <x:c r="C8" s="2" t="str">
        <x:v>B</x:v>
      </x:c>
      <x:c r="D8" s="2" t="str">
        <x:v>C</x:v>
      </x:c>
      <x:c r="E8" s="2" t="str">
        <x:v>D</x:v>
      </x:c>
      <x:c r="F8" s="2" t="str">
        <x:v>E</x:v>
      </x:c>
      <x:c r="G8" s="2" t="str">
        <x:v>F</x:v>
      </x:c>
      <x:c r="H8" s="2" t="str">
        <x:v>G</x:v>
      </x:c>
      <x:c r="I8" s="2" t="str">
        <x:v>H</x:v>
      </x:c>
      <x:c r="J8" s="2" t="str">
        <x:v>I</x:v>
      </x:c>
    </x:row>
    <x:row r="9" ht="24" customHeight="1">
      <x:c r="A9" s="2" t="str">
        <x:v>Lot</x:v>
      </x:c>
      <x:c r="B9" s="2" t="str">
        <x:v>L1</x:v>
      </x:c>
      <x:c r="C9" s="2" t="str">
        <x:v>L1</x:v>
      </x:c>
      <x:c r="D9" s="2" t="str">
        <x:v>L2</x:v>
      </x:c>
      <x:c r="E9" s="2" t="str">
        <x:v>L3</x:v>
      </x:c>
      <x:c r="F9" s="2" t="str">
        <x:v>L4</x:v>
      </x:c>
      <x:c r="G9" s="2" t="str">
        <x:v>L5</x:v>
      </x:c>
      <x:c r="H9" s="2" t="str">
        <x:v>L6</x:v>
      </x:c>
      <x:c r="I9" s="2" t="str">
        <x:v>L7</x:v>
      </x:c>
      <x:c r="J9" s="2" t="str">
        <x:v>L8</x:v>
      </x:c>
    </x:row>
    <x:row r="10" ht="24" customHeight="1">
      <x:c r="A10" s="2" t="str">
        <x:v>Unit</x:v>
      </x:c>
      <x:c r="B10" s="2" t="str">
        <x:v>each</x:v>
      </x:c>
      <x:c r="C10" s="2" t="str">
        <x:v>each</x:v>
      </x:c>
      <x:c r="D10" s="2" t="str">
        <x:v>each</x:v>
      </x:c>
      <x:c r="E10" s="2" t="str">
        <x:v>each</x:v>
      </x:c>
      <x:c r="F10" s="2" t="str">
        <x:v>each</x:v>
      </x:c>
      <x:c r="G10" s="2" t="str">
        <x:v>each</x:v>
      </x:c>
      <x:c r="H10" s="2" t="str">
        <x:v>each</x:v>
      </x:c>
      <x:c r="I10" s="2" t="str">
        <x:v>each</x:v>
      </x:c>
      <x:c r="J10" s="2" t="str">
        <x:v>each</x:v>
      </x:c>
    </x:row>
    <x:row r="11" ht="24" customHeight="1">
      <x:c r="A11" s="2" t="str">
        <x:v>Book time UTC</x:v>
      </x:c>
      <x:c r="B11" s="7" t="n">
        <x:v>46300.416666666664</x:v>
      </x:c>
      <x:c r="C11" s="7" t="n">
        <x:v>46300.416666666664</x:v>
      </x:c>
      <x:c r="D11" s="7" t="n">
        <x:v>46300.416666666664</x:v>
      </x:c>
      <x:c r="E11" s="7" t="n">
        <x:v>46300.416666666664</x:v>
      </x:c>
      <x:c r="F11" s="7" t="n">
        <x:v>46300.416666666664</x:v>
      </x:c>
      <x:c r="G11" s="7" t="n">
        <x:v>46300.416666666664</x:v>
      </x:c>
      <x:c r="H11" s="7" t="n">
        <x:v>46300.416666666664</x:v>
      </x:c>
      <x:c r="I11" s="7" t="n">
        <x:v>46300.416666666664</x:v>
      </x:c>
      <x:c r="J11" s="7" t="n">
        <x:v>46300.416666666664</x:v>
      </x:c>
    </x:row>
    <x:row r="12" ht="24" customHeight="1">
      <x:c r="A12" s="2" t="str">
        <x:v>Count time UTC</x:v>
      </x:c>
      <x:c r="B12" s="7" t="n">
        <x:v>46300.4375</x:v>
      </x:c>
      <x:c r="C12" s="7" t="n">
        <x:v>46300.4375</x:v>
      </x:c>
      <x:c r="D12" s="7" t="n">
        <x:v>46300.4375</x:v>
      </x:c>
      <x:c r="E12" s="7" t="n">
        <x:v>46300.4375</x:v>
      </x:c>
      <x:c r="F12" s="7" t="n">
        <x:v>46300.4375</x:v>
      </x:c>
      <x:c r="G12" s="7" t="n">
        <x:v>46300.4375</x:v>
      </x:c>
      <x:c r="H12" s="7" t="n">
        <x:v>46300.4375</x:v>
      </x:c>
      <x:c r="I12" s="7" t="n">
        <x:v>46300.4375</x:v>
      </x:c>
      <x:c r="J12" s="7" t="n">
        <x:v>46300.4375</x:v>
      </x:c>
    </x:row>
    <x:row r="13" ht="24" customHeight="1">
      <x:c r="A13" s="2" t="str">
        <x:v>Book physical</x:v>
      </x:c>
      <x:c r="B13" s="8" t="n">
        <x:v>10</x:v>
      </x:c>
      <x:c r="C13" s="8" t="n">
        <x:v>10</x:v>
      </x:c>
      <x:c r="D13" s="8" t="n">
        <x:v>10</x:v>
      </x:c>
      <x:c r="E13" s="8" t="n">
        <x:v>10</x:v>
      </x:c>
      <x:c r="F13" s="8" t="n">
        <x:v>10</x:v>
      </x:c>
      <x:c r="G13" s="8" t="n">
        <x:v>10</x:v>
      </x:c>
      <x:c r="H13" s="8" t="n">
        <x:v>10</x:v>
      </x:c>
      <x:c r="I13" s="8" t="n">
        <x:v>10</x:v>
      </x:c>
      <x:c r="J13" s="8" t="n">
        <x:v>10</x:v>
      </x:c>
    </x:row>
    <x:row r="14" ht="24" customHeight="1">
      <x:c r="A14" s="2" t="str">
        <x:v>Movement units</x:v>
      </x:c>
      <x:c r="B14" s="8" t="n">
        <x:v>0</x:v>
      </x:c>
      <x:c r="C14" s="8" t="n">
        <x:v>0</x:v>
      </x:c>
      <x:c r="D14" s="8" t="n">
        <x:v>3</x:v>
      </x:c>
      <x:c r="E14" s="8" t="n">
        <x:v>3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</x:row>
    <x:row r="15" ht="24" customHeight="1">
      <x:c r="A15" s="2" t="str">
        <x:v>Movement time UTC</x:v>
      </x:c>
      <x:c r="B15" s="7" t="n">
        <x:v>46300.427083333336</x:v>
      </x:c>
      <x:c r="C15" s="7" t="n">
        <x:v>46300.427083333336</x:v>
      </x:c>
      <x:c r="D15" s="7" t="n">
        <x:v>46300.427083333336</x:v>
      </x:c>
      <x:c r="E15" s="7" t="n">
        <x:v>46300.427083333336</x:v>
      </x:c>
      <x:c r="F15" s="7" t="n">
        <x:v>46300.427083333336</x:v>
      </x:c>
      <x:c r="G15" s="7" t="n">
        <x:v>46300.427083333336</x:v>
      </x:c>
      <x:c r="H15" s="7" t="n">
        <x:v>46300.427083333336</x:v>
      </x:c>
      <x:c r="I15" s="7" t="n">
        <x:v>46300.427083333336</x:v>
      </x:c>
      <x:c r="J15" s="7" t="n">
        <x:v>46300.427083333336</x:v>
      </x:c>
    </x:row>
    <x:row r="16" ht="24" customHeight="1">
      <x:c r="A16" s="2" t="str">
        <x:v>Snapshot inclusion</x:v>
      </x:c>
      <x:c r="B16" s="2" t="str">
        <x:v>excluded</x:v>
      </x:c>
      <x:c r="C16" s="2" t="str">
        <x:v>excluded</x:v>
      </x:c>
      <x:c r="D16" s="2" t="str">
        <x:v>excluded</x:v>
      </x:c>
      <x:c r="E16" s="2"/>
      <x:c r="F16" s="2" t="str">
        <x:v>excluded</x:v>
      </x:c>
      <x:c r="G16" s="2" t="str">
        <x:v>excluded</x:v>
      </x:c>
      <x:c r="H16" s="2" t="str">
        <x:v>excluded</x:v>
      </x:c>
      <x:c r="I16" s="2" t="str">
        <x:v>excluded</x:v>
      </x:c>
      <x:c r="J16" s="2" t="str">
        <x:v>excluded</x:v>
      </x:c>
    </x:row>
    <x:row r="17" ht="24" customHeight="1">
      <x:c r="A17" s="2" t="str">
        <x:v>Movement completeness</x:v>
      </x:c>
      <x:c r="B17" s="2" t="str">
        <x:v>complete</x:v>
      </x:c>
      <x:c r="C17" s="2" t="str">
        <x:v>complete</x:v>
      </x:c>
      <x:c r="D17" s="2" t="str">
        <x:v>complete</x:v>
      </x:c>
      <x:c r="E17" s="2" t="str">
        <x:v>complete</x:v>
      </x:c>
      <x:c r="F17" s="2" t="str">
        <x:v>complete</x:v>
      </x:c>
      <x:c r="G17" s="2" t="str">
        <x:v>complete</x:v>
      </x:c>
      <x:c r="H17" s="2" t="str">
        <x:v>complete</x:v>
      </x:c>
      <x:c r="I17" s="2" t="str">
        <x:v>complete</x:v>
      </x:c>
      <x:c r="J17" s="2" t="str">
        <x:v>complete</x:v>
      </x:c>
    </x:row>
    <x:row r="18" ht="24" customHeight="1">
      <x:c r="A18" s="2" t="str">
        <x:v>Ownership</x:v>
      </x:c>
      <x:c r="B18" s="2" t="str">
        <x:v>company</x:v>
      </x:c>
      <x:c r="C18" s="2" t="str">
        <x:v>company</x:v>
      </x:c>
      <x:c r="D18" s="2" t="str">
        <x:v>company</x:v>
      </x:c>
      <x:c r="E18" s="2" t="str">
        <x:v>company</x:v>
      </x:c>
      <x:c r="F18" s="2" t="str">
        <x:v>company</x:v>
      </x:c>
      <x:c r="G18" s="2"/>
      <x:c r="H18" s="2" t="str">
        <x:v>company</x:v>
      </x:c>
      <x:c r="I18" s="2" t="str">
        <x:v>company</x:v>
      </x:c>
      <x:c r="J18" s="2" t="str">
        <x:v>company</x:v>
      </x:c>
    </x:row>
    <x:row r="19" ht="38" customHeight="1">
      <x:c r="A19" s="2" t="str">
        <x:v>Status basis</x:v>
      </x:c>
      <x:c r="B19" s="9" t="str">
        <x:v>physical-including-held</x:v>
      </x:c>
      <x:c r="C19" s="9" t="str">
        <x:v>physical-including-held</x:v>
      </x:c>
      <x:c r="D19" s="9" t="str">
        <x:v>physical-including-held</x:v>
      </x:c>
      <x:c r="E19" s="9" t="str">
        <x:v>physical-including-held</x:v>
      </x:c>
      <x:c r="F19" s="9" t="str">
        <x:v>physical-including-held</x:v>
      </x:c>
      <x:c r="G19" s="9"/>
      <x:c r="H19" s="9" t="str">
        <x:v>physical-including-held</x:v>
      </x:c>
      <x:c r="I19" s="9" t="str">
        <x:v>physical-including-held</x:v>
      </x:c>
      <x:c r="J19" s="9" t="str">
        <x:v>physical-including-held</x:v>
      </x:c>
    </x:row>
    <x:row r="20" ht="24" customHeight="1">
      <x:c r="A20" s="2" t="str">
        <x:v>Count 1</x:v>
      </x:c>
      <x:c r="B20" s="8" t="n">
        <x:v>8</x:v>
      </x:c>
      <x:c r="C20" s="8" t="n">
        <x:v>12</x:v>
      </x:c>
      <x:c r="D20" s="8" t="n">
        <x:v>12</x:v>
      </x:c>
      <x:c r="E20" s="8" t="n">
        <x:v>12</x:v>
      </x:c>
      <x:c r="F20" s="8" t="n">
        <x:v>10</x:v>
      </x:c>
      <x:c r="G20" s="8" t="n">
        <x:v>10</x:v>
      </x:c>
      <x:c r="H20" s="8"/>
      <x:c r="I20" s="8" t="n">
        <x:v>0</x:v>
      </x:c>
      <x:c r="J20" s="8" t="n">
        <x:v>8</x:v>
      </x:c>
    </x:row>
    <x:row r="21" ht="24" customHeight="1">
      <x:c r="A21" s="2" t="str">
        <x:v>Count 2</x:v>
      </x:c>
      <x:c r="B21" s="8"/>
      <x:c r="C21" s="8"/>
      <x:c r="D21" s="8"/>
      <x:c r="E21" s="8"/>
      <x:c r="F21" s="8"/>
      <x:c r="G21" s="8"/>
      <x:c r="H21" s="8"/>
      <x:c r="I21" s="8"/>
      <x:c r="J21" s="8" t="n">
        <x:v>10</x:v>
      </x:c>
    </x:row>
    <x:row r="22" ht="24" customHeight="1">
      <x:c r="A22" s="2" t="str">
        <x:v>Owner selection</x:v>
      </x:c>
      <x:c r="B22" s="2" t="str">
        <x:v>first</x:v>
      </x:c>
      <x:c r="C22" s="2" t="str">
        <x:v>first</x:v>
      </x:c>
      <x:c r="D22" s="2" t="str">
        <x:v>first</x:v>
      </x:c>
      <x:c r="E22" s="2" t="str">
        <x:v>first</x:v>
      </x:c>
      <x:c r="F22" s="2" t="str">
        <x:v>first</x:v>
      </x:c>
      <x:c r="G22" s="2" t="str">
        <x:v>first</x:v>
      </x:c>
      <x:c r="H22" s="2" t="str">
        <x:v>first</x:v>
      </x:c>
      <x:c r="I22" s="2" t="str">
        <x:v>first</x:v>
      </x:c>
      <x:c r="J22" s="2"/>
    </x:row>
    <x:row r="23" ht="24" customHeight="1">
      <x:c r="A23" s="2" t="str">
        <x:v>Basis decision</x:v>
      </x:c>
      <x:c r="B23" s="2" t="str">
        <x:v>supplied</x:v>
      </x:c>
      <x:c r="C23" s="2" t="str">
        <x:v>supplied</x:v>
      </x:c>
      <x:c r="D23" s="2" t="str">
        <x:v>supplied</x:v>
      </x:c>
      <x:c r="E23" s="2" t="str">
        <x:v>supplied</x:v>
      </x:c>
      <x:c r="F23" s="2" t="str">
        <x:v>supplied</x:v>
      </x:c>
      <x:c r="G23" s="2"/>
      <x:c r="H23" s="2" t="str">
        <x:v>supplied</x:v>
      </x:c>
      <x:c r="I23" s="2" t="str">
        <x:v>supplied</x:v>
      </x:c>
      <x:c r="J23" s="2" t="str">
        <x:v>supplied</x:v>
      </x:c>
    </x:row>
    <x:row r="24" ht="24" customHeight="1">
      <x:c r="A24" s="2" t="str">
        <x:v>Revision</x:v>
      </x:c>
      <x:c r="B24" s="2" t="str">
        <x:v>r1</x:v>
      </x:c>
      <x:c r="C24" s="2" t="str">
        <x:v>r1</x:v>
      </x:c>
      <x:c r="D24" s="2" t="str">
        <x:v>r1</x:v>
      </x:c>
      <x:c r="E24" s="2" t="str">
        <x:v>r1</x:v>
      </x:c>
      <x:c r="F24" s="2" t="str">
        <x:v>r1</x:v>
      </x:c>
      <x:c r="G24" s="2" t="str">
        <x:v>r1</x:v>
      </x:c>
      <x:c r="H24" s="2" t="str">
        <x:v>r1</x:v>
      </x:c>
      <x:c r="I24" s="2" t="str">
        <x:v>r1</x:v>
      </x:c>
      <x:c r="J24" s="2" t="str">
        <x:v>r1</x:v>
      </x:c>
    </x:row>
    <x:row r="25" ht="24" customHeight="1">
      <x:c r="A25" s="2" t="str">
        <x:v>Held units</x:v>
      </x:c>
      <x:c r="B25" s="2" t="n">
        <x:v>0</x:v>
      </x:c>
      <x:c r="C25" s="2" t="n">
        <x:v>0</x:v>
      </x:c>
      <x:c r="D25" s="2" t="n">
        <x:v>0</x:v>
      </x:c>
      <x:c r="E25" s="2" t="n">
        <x:v>0</x:v>
      </x:c>
      <x:c r="F25" s="2" t="n">
        <x:v>2</x:v>
      </x:c>
      <x:c r="G25" s="2" t="n">
        <x:v>2</x:v>
      </x:c>
      <x:c r="H25" s="2" t="n">
        <x:v>0</x:v>
      </x:c>
      <x:c r="I25" s="2" t="n">
        <x:v>0</x:v>
      </x:c>
      <x:c r="J25" s="2" t="n">
        <x:v>0</x:v>
      </x:c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Source JSON SHA-256</x:v>
      </x:c>
      <x:c r="B27" s="2" t="str">
        <x:v>5cd022a16e6c60a361b72a521202bcab08d278b754dcddda6df1498516f1e4bd</x:v>
      </x:c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Decision provenance</x:v>
      </x:c>
      <x:c r="B28" s="2" t="str">
        <x:v>All supplied decisions are synthetic assertions. No real approval.</x:v>
      </x:c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</x:sheetData>
  <x:pageMargins left="0.7" right="0.7" top="0.75" bottom="0.75" header="0.3" footer="0.3"/>
</x:worksheet>
</file>